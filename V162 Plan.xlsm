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https://tpicomp-my.sharepoint.com/personal/ftek_tpicomposites_com/Documents/Masaüstü/Haftalık Planlar/"/>
    </mc:Choice>
  </mc:AlternateContent>
  <xr:revisionPtr revIDLastSave="5" documentId="8_{AB8977FC-A4D6-4FE4-81B0-ADBC5989675C}" xr6:coauthVersionLast="47" xr6:coauthVersionMax="47" xr10:uidLastSave="{79A5E424-767A-4176-968E-4D137A9C69D5}"/>
  <bookViews>
    <workbookView xWindow="-108" yWindow="-108" windowWidth="23256" windowHeight="12576" xr2:uid="{00000000-000D-0000-FFFF-FFFF00000000}"/>
  </bookViews>
  <sheets>
    <sheet name="V162" sheetId="24" r:id="rId1"/>
    <sheet name="cuma raporu" sheetId="26" r:id="rId2"/>
  </sheets>
  <definedNames>
    <definedName name="_xlnm._FilterDatabase" localSheetId="0" hidden="1">'V162'!$A$9:$Q$9</definedName>
    <definedName name="_xlnm.Print_Area" localSheetId="0">'V162'!$A$1:$U$9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24" l="1"/>
</calcChain>
</file>

<file path=xl/sharedStrings.xml><?xml version="1.0" encoding="utf-8"?>
<sst xmlns="http://schemas.openxmlformats.org/spreadsheetml/2006/main" count="89" uniqueCount="50">
  <si>
    <t>Set</t>
  </si>
  <si>
    <t>FF</t>
  </si>
  <si>
    <t>Blade #</t>
  </si>
  <si>
    <t>Zımpara</t>
  </si>
  <si>
    <t>Görsel</t>
  </si>
  <si>
    <t>Boya</t>
  </si>
  <si>
    <t>Sevk</t>
  </si>
  <si>
    <t>İstasyon CT -&gt;</t>
  </si>
  <si>
    <t>İstasyon Sayı</t>
  </si>
  <si>
    <t>Rotating Cart</t>
  </si>
  <si>
    <t>Demold Cart</t>
  </si>
  <si>
    <t>Trim &amp; NCR</t>
  </si>
  <si>
    <t>WLU &amp; RM &amp; LPS</t>
  </si>
  <si>
    <t>Fix &amp; Firewall</t>
  </si>
  <si>
    <t>Trim Başlangıç</t>
  </si>
  <si>
    <t>Tamir Bitişi (A yüzeyi)</t>
  </si>
  <si>
    <t>DIŞ</t>
  </si>
  <si>
    <t>?</t>
  </si>
  <si>
    <t>???</t>
  </si>
  <si>
    <t xml:space="preserve">Planned COC </t>
  </si>
  <si>
    <t>COC</t>
  </si>
  <si>
    <t>Item Code</t>
  </si>
  <si>
    <t>Trim</t>
  </si>
  <si>
    <t>LE Wlu</t>
  </si>
  <si>
    <t>TE Wlu</t>
  </si>
  <si>
    <t>RM</t>
  </si>
  <si>
    <t>PS</t>
  </si>
  <si>
    <t>SS</t>
  </si>
  <si>
    <t>Paint</t>
  </si>
  <si>
    <t>Fix</t>
  </si>
  <si>
    <t>Comletion %</t>
  </si>
  <si>
    <t>91-793000</t>
  </si>
  <si>
    <t>SS LE 51550 kırık (kanat parça geometrisi ve delam olark açıldı) + TE 11730-13740-15000 çatlak + SS-PS SMT + PS TE 10300 DRY + PS TE 57200 Yüzey kaplama + SS LE 75500 Kumaş konum + flanş geçiş yükseklik farkı b yüzeyi SS LE 5600</t>
  </si>
  <si>
    <t>yedek</t>
  </si>
  <si>
    <t>91-793002</t>
  </si>
  <si>
    <t>SS LE A 3208 DRY + SS LE A 20500 reçinede hava + PS TE A 1670 Semi-dry + 4 adet yüzey kaplama + PS TE A 48700 kumaş konum + PS 56070-56900 TESW yüzey kaplama + SS/PS TE 80900 yetersiz krema + SS TESW 28 adet + SS/PS SMT</t>
  </si>
  <si>
    <t>ps smt</t>
  </si>
  <si>
    <t>ss te çatlak 9410 + 4 adet te termal + yüzey kaplama ps te 7500 + b dalga 2400 25+17 kat + kumaş konum ss le 6500 + r. Hava 3 adet</t>
  </si>
  <si>
    <t>k.hava ss tesw 5 adet 11459-12208 arası Nüve kürleme+ a yüzeyi</t>
  </si>
  <si>
    <t>delikler arası ps tesw 8400 kumaş atımı + yetersiz krema ss msw 3743 çizim</t>
  </si>
  <si>
    <t>krema taşması ps te 5000 + kremada hava ss msw 6530 + yetersiz krema ss msw 4110-4415-7030 hepsi kumaş atımı + 3.5m wlu le kumaşına ncr açıldı</t>
  </si>
  <si>
    <t xml:space="preserve">PS SMT ters + ss 3945 msw + ps te 6000 dry 13 kat serim+inf  +  te 7500 yhkk </t>
  </si>
  <si>
    <t xml:space="preserve">ss smt + 3 adet te kalınlık + r.hava 1650 swr 5 adet + delam ps te 6360 ss le 2800 + çatlak ss le 51900 + çatlak ss ps te 1650 + k. Hava 8000 ps tesw , ss msw 76000 + yüzey kaplama ps tesw 56742 + fod ss ps le b 5000 + te termal 6 adet, le termal 5 adet + delam ss le b 1650 + lps hasarı ps te 17800 </t>
  </si>
  <si>
    <t>W16</t>
  </si>
  <si>
    <t xml:space="preserve">dry ps te 5700 13 kat kürlemede + receptor crack ps te 79000-79700 nüve inf. + resin void ps le 43800 taşlanacak + delamination ss le 2500-2700 ve ps te 3000-6000 arası + rich resin ps te 1650 sikapower çekiliyor ve ps le 1650 sikapower kontrol edilecek + ss-ps smt + 3 adet te kalınlık + paste void nonexposed ss tesw 8000(ters) + fod ps te b 24200 (locater) + ps te 23400 glass location + dry ps te 15 adet taşlama onayı + dry ps te 9500-10700-11700-12650 inf. kürlemede + coating ps le 7000 </t>
  </si>
  <si>
    <t xml:space="preserve">te thickness 7 adet + delamination ps te 3180 kumaş atımı + delamination ss le 2170 4 + semidry ss le 1650 9 layers + ss-ps smt + coating ps tesw 55957 + paste void exposed ss te insert 12250 + rich resin ss te 8500 (bolt)+ lps damage ss le 9700(ters) + resin void ps te 53100 (mesh arası hava temizleniyor)+ coaitng ps te 7650-59500 </t>
  </si>
  <si>
    <t xml:space="preserve">ss te insert 10400 disbonding + paste void exposed ss ps 1650 (crack) + ss-ps smt +te thickness x4 + dry ps te 30000 kumaş atımı + k.taşması ps te 5300 </t>
  </si>
  <si>
    <t xml:space="preserve">ss te insert 10400 disbonding + paste void exposed ss ps 1650 (crack) + ss-ps smt +te thickness x4 + dry ps te 30000 kumaş atımı </t>
  </si>
  <si>
    <t xml:space="preserve">dry ps te 5700 13 kat + receptor crack ps te 79000-79700 + resin void ps le 43800 + delamination ss le 2500-2700 ve ps te 3000-6000 + rich resin ps te 1650 sikapower ve ps le 1650 sikapower control + ss-ps smt + te thickness x3 + paste void nonexposed ss tesw 8000 + fod ps te b 24200 (locater) + ps te 23400 glass location + dry ps te x15 + dry ps te 9500-10700-11700-12650 + coating ps le 7000 </t>
  </si>
  <si>
    <t>te thickness x7 + delamination ps te 3180 + delamination ss le 2170 x4 + semidry ss le 1650 9 layers + ss-ps smt + coating ps tesw 55957 + paste void exposed ss te insert 12250 + rich resin ss te 8500 (bolt) + lps damage ss le 9700 + resin void ps te 53100 + coating ps te 7650-59500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</si>
</sst>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b/>
      <sz val="12"/>
      <color rgb="FFFF0000"/>
      <name val="Calibri"/>
      <family val="2"/>
      <charset val="162"/>
      <scheme val="minor"/>
    </font>
    <font>
      <sz val="11"/>
      <color indexed="8"/>
      <name val="Calibri"/>
      <family val="2"/>
      <charset val="162"/>
    </font>
    <font>
      <b/>
      <sz val="10"/>
      <color theme="1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sz val="11"/>
      <color rgb="FFFF0000"/>
      <name val="Calibri"/>
      <family val="2"/>
      <charset val="162"/>
      <scheme val="minor"/>
    </font>
    <font>
      <sz val="9"/>
      <color rgb="FFFF0000"/>
      <name val="Calibri"/>
      <family val="2"/>
      <charset val="162"/>
      <scheme val="minor"/>
    </font>
    <font>
      <sz val="11"/>
      <name val="Calibri"/>
      <family val="2"/>
      <charset val="16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2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 applyAlignment="1">
      <alignment horizontal="left"/>
    </xf>
    <xf numFmtId="22" fontId="0" fillId="0" borderId="0" xfId="0" applyNumberFormat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22" fontId="0" fillId="2" borderId="5" xfId="0" applyNumberForma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22" fontId="0" fillId="0" borderId="5" xfId="0" applyNumberFormat="1" applyFill="1" applyBorder="1" applyAlignment="1">
      <alignment horizontal="center"/>
    </xf>
    <xf numFmtId="0" fontId="7" fillId="0" borderId="0" xfId="0" applyFont="1" applyBorder="1" applyAlignment="1"/>
    <xf numFmtId="19" fontId="0" fillId="0" borderId="5" xfId="0" applyNumberForma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6" fillId="0" borderId="8" xfId="0" applyFont="1" applyBorder="1" applyAlignment="1">
      <alignment horizontal="center" vertical="center"/>
    </xf>
    <xf numFmtId="22" fontId="0" fillId="0" borderId="8" xfId="0" applyNumberFormat="1" applyBorder="1"/>
    <xf numFmtId="164" fontId="0" fillId="0" borderId="5" xfId="0" applyNumberForma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9" fillId="6" borderId="0" xfId="0" applyFont="1" applyFill="1" applyAlignment="1">
      <alignment vertical="center"/>
    </xf>
    <xf numFmtId="0" fontId="10" fillId="0" borderId="4" xfId="0" applyFont="1" applyBorder="1" applyAlignment="1">
      <alignment horizontal="center" vertical="center" textRotation="90" wrapText="1"/>
    </xf>
    <xf numFmtId="0" fontId="9" fillId="2" borderId="10" xfId="0" applyFont="1" applyFill="1" applyBorder="1" applyAlignment="1">
      <alignment vertical="center"/>
    </xf>
    <xf numFmtId="0" fontId="9" fillId="4" borderId="10" xfId="0" applyFont="1" applyFill="1" applyBorder="1" applyAlignment="1">
      <alignment vertical="center"/>
    </xf>
    <xf numFmtId="22" fontId="0" fillId="3" borderId="5" xfId="0" applyNumberFormat="1" applyFill="1" applyBorder="1" applyAlignment="1">
      <alignment horizontal="center"/>
    </xf>
    <xf numFmtId="0" fontId="0" fillId="4" borderId="0" xfId="0" applyFill="1"/>
    <xf numFmtId="0" fontId="8" fillId="0" borderId="11" xfId="0" applyFont="1" applyBorder="1" applyAlignment="1">
      <alignment vertical="center" textRotation="90" wrapText="1"/>
    </xf>
    <xf numFmtId="0" fontId="8" fillId="0" borderId="11" xfId="0" applyFont="1" applyBorder="1" applyAlignment="1">
      <alignment horizontal="center" vertical="center" textRotation="90" wrapText="1"/>
    </xf>
    <xf numFmtId="0" fontId="11" fillId="0" borderId="5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3" fillId="4" borderId="0" xfId="0" applyFont="1" applyFill="1" applyAlignment="1">
      <alignment horizontal="left" vertical="center" wrapText="1"/>
    </xf>
    <xf numFmtId="0" fontId="14" fillId="0" borderId="5" xfId="0" applyFont="1" applyFill="1" applyBorder="1" applyAlignment="1">
      <alignment horizontal="center"/>
    </xf>
    <xf numFmtId="0" fontId="9" fillId="3" borderId="10" xfId="0" applyFont="1" applyFill="1" applyBorder="1" applyAlignment="1">
      <alignment vertical="center"/>
    </xf>
    <xf numFmtId="0" fontId="12" fillId="0" borderId="5" xfId="0" applyFont="1" applyFill="1" applyBorder="1" applyAlignment="1">
      <alignment horizontal="center"/>
    </xf>
    <xf numFmtId="22" fontId="15" fillId="0" borderId="0" xfId="0" applyNumberFormat="1" applyFont="1"/>
    <xf numFmtId="0" fontId="7" fillId="0" borderId="6" xfId="0" applyFont="1" applyBorder="1" applyAlignment="1">
      <alignment horizontal="center"/>
    </xf>
    <xf numFmtId="0" fontId="12" fillId="4" borderId="1" xfId="0" applyFont="1" applyFill="1" applyBorder="1" applyAlignment="1">
      <alignment horizontal="center" vertical="center"/>
    </xf>
    <xf numFmtId="9" fontId="10" fillId="0" borderId="2" xfId="0" applyNumberFormat="1" applyFont="1" applyBorder="1" applyAlignment="1">
      <alignment horizontal="center" vertical="center"/>
    </xf>
    <xf numFmtId="9" fontId="10" fillId="0" borderId="9" xfId="0" applyNumberFormat="1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9" fontId="10" fillId="2" borderId="2" xfId="0" applyNumberFormat="1" applyFont="1" applyFill="1" applyBorder="1" applyAlignment="1">
      <alignment horizontal="center" vertical="center"/>
    </xf>
    <xf numFmtId="9" fontId="10" fillId="2" borderId="9" xfId="0" applyNumberFormat="1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 textRotation="90" wrapText="1"/>
    </xf>
    <xf numFmtId="0" fontId="8" fillId="5" borderId="8" xfId="0" applyFont="1" applyFill="1" applyBorder="1" applyAlignment="1">
      <alignment horizontal="center" vertical="center" textRotation="90" wrapText="1"/>
    </xf>
    <xf numFmtId="0" fontId="10" fillId="0" borderId="2" xfId="0" applyFont="1" applyBorder="1" applyAlignment="1">
      <alignment horizontal="center" vertical="center" textRotation="90" wrapText="1"/>
    </xf>
    <xf numFmtId="0" fontId="10" fillId="0" borderId="9" xfId="0" applyFont="1" applyBorder="1" applyAlignment="1">
      <alignment horizontal="center" vertical="center" textRotation="90" wrapText="1"/>
    </xf>
  </cellXfs>
  <cellStyles count="2">
    <cellStyle name="Excel Built-in Normal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3399FF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</xdr:colOff>
          <xdr:row>5</xdr:row>
          <xdr:rowOff>106680</xdr:rowOff>
        </xdr:from>
        <xdr:to>
          <xdr:col>1</xdr:col>
          <xdr:colOff>289560</xdr:colOff>
          <xdr:row>6</xdr:row>
          <xdr:rowOff>190500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5">
    <pageSetUpPr fitToPage="1"/>
  </sheetPr>
  <dimension ref="A1:P57"/>
  <sheetViews>
    <sheetView showGridLines="0" tabSelected="1" topLeftCell="A6" zoomScale="70" zoomScaleNormal="70" zoomScaleSheetLayoutView="94" workbookViewId="0">
      <pane xSplit="2" ySplit="4" topLeftCell="C26" activePane="bottomRight" state="frozen"/>
      <selection activeCell="A6" sqref="A6"/>
      <selection pane="topRight" activeCell="C6" sqref="C6"/>
      <selection pane="bottomLeft" activeCell="A10" sqref="A10"/>
      <selection pane="bottomRight" activeCell="I6" sqref="I6"/>
    </sheetView>
  </sheetViews>
  <sheetFormatPr defaultColWidth="8.77734375" defaultRowHeight="15.6" x14ac:dyDescent="0.3"/>
  <cols>
    <col min="1" max="1" width="5.5546875" style="1" customWidth="1"/>
    <col min="2" max="2" width="5.109375" style="7" customWidth="1"/>
    <col min="3" max="3" width="15.88671875" style="9" bestFit="1" customWidth="1"/>
    <col min="4" max="4" width="10.88671875" style="9" hidden="1" customWidth="1"/>
    <col min="5" max="5" width="15.88671875" style="9" hidden="1" customWidth="1"/>
    <col min="6" max="6" width="15.88671875" style="6" bestFit="1" customWidth="1"/>
    <col min="7" max="7" width="17.33203125" style="6" hidden="1" customWidth="1"/>
    <col min="8" max="14" width="15.88671875" style="6" bestFit="1" customWidth="1"/>
    <col min="15" max="15" width="83.88671875" style="6" customWidth="1"/>
    <col min="16" max="16" width="42.77734375" style="22" customWidth="1"/>
    <col min="17" max="17" width="16.44140625" style="6" bestFit="1" customWidth="1"/>
    <col min="18" max="16384" width="8.77734375" style="6"/>
  </cols>
  <sheetData>
    <row r="1" spans="1:16" customFormat="1" hidden="1" x14ac:dyDescent="0.3">
      <c r="A1" s="1"/>
      <c r="B1" s="7"/>
      <c r="C1" s="1"/>
      <c r="D1" s="1"/>
      <c r="E1" s="1"/>
      <c r="P1" s="19"/>
    </row>
    <row r="2" spans="1:16" customFormat="1" hidden="1" x14ac:dyDescent="0.3">
      <c r="A2" s="1"/>
      <c r="B2" s="7"/>
      <c r="C2" s="1"/>
      <c r="D2" s="1"/>
      <c r="E2" s="1"/>
      <c r="P2" s="20"/>
    </row>
    <row r="3" spans="1:16" customFormat="1" hidden="1" x14ac:dyDescent="0.3">
      <c r="A3" s="1"/>
      <c r="B3" s="7"/>
      <c r="C3" s="1"/>
      <c r="D3" s="1"/>
      <c r="E3" s="1"/>
      <c r="P3" s="20"/>
    </row>
    <row r="4" spans="1:16" customFormat="1" hidden="1" x14ac:dyDescent="0.3">
      <c r="A4" s="1"/>
      <c r="B4" s="7"/>
      <c r="C4" s="1"/>
      <c r="D4" s="1"/>
      <c r="E4" s="1"/>
      <c r="P4" s="20"/>
    </row>
    <row r="5" spans="1:16" customFormat="1" hidden="1" x14ac:dyDescent="0.3">
      <c r="A5" s="1"/>
      <c r="B5" s="7"/>
      <c r="C5" s="1"/>
      <c r="D5" s="1"/>
      <c r="E5" s="1"/>
      <c r="P5" s="20"/>
    </row>
    <row r="6" spans="1:16" customFormat="1" ht="16.2" thickBot="1" x14ac:dyDescent="0.35">
      <c r="A6" s="1"/>
      <c r="B6" s="7"/>
      <c r="C6" s="1" t="s">
        <v>8</v>
      </c>
      <c r="D6" s="1">
        <v>1</v>
      </c>
      <c r="E6" s="1">
        <v>1</v>
      </c>
      <c r="F6" s="1">
        <v>2</v>
      </c>
      <c r="G6" s="1">
        <v>1</v>
      </c>
      <c r="H6" s="1">
        <v>3</v>
      </c>
      <c r="I6" s="1">
        <v>1</v>
      </c>
      <c r="J6" s="1">
        <v>1</v>
      </c>
      <c r="K6" s="1">
        <v>1</v>
      </c>
      <c r="L6" s="1">
        <v>2</v>
      </c>
      <c r="M6" s="1">
        <v>1</v>
      </c>
      <c r="N6" s="1">
        <v>1</v>
      </c>
      <c r="P6" s="20"/>
    </row>
    <row r="7" spans="1:16" customFormat="1" ht="16.2" thickBot="1" x14ac:dyDescent="0.35">
      <c r="A7" s="2"/>
      <c r="B7" s="8"/>
      <c r="C7" s="3" t="s">
        <v>7</v>
      </c>
      <c r="D7" s="4">
        <v>0</v>
      </c>
      <c r="E7" s="4">
        <v>0</v>
      </c>
      <c r="F7" s="4">
        <v>16</v>
      </c>
      <c r="G7" s="4">
        <v>0</v>
      </c>
      <c r="H7" s="4">
        <v>8</v>
      </c>
      <c r="I7" s="4">
        <v>9</v>
      </c>
      <c r="J7" s="4">
        <v>2</v>
      </c>
      <c r="K7" s="4">
        <v>6</v>
      </c>
      <c r="L7" s="4">
        <v>8</v>
      </c>
      <c r="M7" s="4">
        <v>4</v>
      </c>
      <c r="N7" s="5">
        <v>2</v>
      </c>
      <c r="P7" s="20"/>
    </row>
    <row r="8" spans="1:16" customFormat="1" ht="21" x14ac:dyDescent="0.4">
      <c r="A8" s="49" t="str">
        <f ca="1">"V162 Haftalık Planı "&amp; TEXT(TODAY(), "GG.AA.yyyy")</f>
        <v>V162 Haftalık Planı 25.04.2022</v>
      </c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16"/>
      <c r="P8" s="20"/>
    </row>
    <row r="9" spans="1:16" s="12" customFormat="1" ht="21" customHeight="1" x14ac:dyDescent="0.3">
      <c r="A9" s="11" t="s">
        <v>0</v>
      </c>
      <c r="B9" s="11" t="s">
        <v>2</v>
      </c>
      <c r="C9" s="11" t="s">
        <v>14</v>
      </c>
      <c r="D9" s="11" t="s">
        <v>9</v>
      </c>
      <c r="E9" s="11" t="s">
        <v>10</v>
      </c>
      <c r="F9" s="10" t="s">
        <v>11</v>
      </c>
      <c r="G9" s="10" t="s">
        <v>15</v>
      </c>
      <c r="H9" s="10" t="s">
        <v>12</v>
      </c>
      <c r="I9" s="10" t="s">
        <v>3</v>
      </c>
      <c r="J9" s="10" t="s">
        <v>4</v>
      </c>
      <c r="K9" s="10" t="s">
        <v>5</v>
      </c>
      <c r="L9" s="10" t="s">
        <v>1</v>
      </c>
      <c r="M9" s="10" t="s">
        <v>13</v>
      </c>
      <c r="N9" s="10" t="s">
        <v>6</v>
      </c>
      <c r="P9" s="21"/>
    </row>
    <row r="10" spans="1:16" hidden="1" x14ac:dyDescent="0.3">
      <c r="A10" s="24" t="s">
        <v>17</v>
      </c>
      <c r="B10" s="14">
        <v>425</v>
      </c>
      <c r="C10" s="15"/>
      <c r="D10" s="23"/>
      <c r="E10" s="23"/>
      <c r="F10" s="17"/>
      <c r="G10" s="17"/>
      <c r="H10" s="15"/>
      <c r="I10" s="15"/>
      <c r="J10" s="15"/>
      <c r="K10" s="15"/>
      <c r="L10" s="15"/>
      <c r="M10" s="15"/>
      <c r="N10" s="13">
        <v>44542.041666666664</v>
      </c>
      <c r="O10" s="6" t="s">
        <v>16</v>
      </c>
    </row>
    <row r="11" spans="1:16" hidden="1" x14ac:dyDescent="0.3">
      <c r="A11" s="25"/>
      <c r="B11" s="14"/>
      <c r="C11" s="15"/>
      <c r="D11" s="23"/>
      <c r="E11" s="23"/>
      <c r="F11" s="17"/>
      <c r="G11" s="17"/>
      <c r="H11" s="15"/>
      <c r="I11" s="15"/>
      <c r="J11" s="15"/>
      <c r="K11" s="15"/>
      <c r="L11" s="15"/>
      <c r="M11" s="15"/>
      <c r="N11" s="15"/>
    </row>
    <row r="12" spans="1:16" hidden="1" x14ac:dyDescent="0.3">
      <c r="A12" s="24" t="s">
        <v>17</v>
      </c>
      <c r="B12" s="14">
        <v>427</v>
      </c>
      <c r="C12" s="15"/>
      <c r="D12" s="23"/>
      <c r="E12" s="23"/>
      <c r="F12" s="17"/>
      <c r="G12" s="17"/>
      <c r="H12" s="15"/>
      <c r="I12" s="15"/>
      <c r="J12" s="15"/>
      <c r="K12" s="15"/>
      <c r="L12" s="15"/>
      <c r="M12" s="15"/>
      <c r="N12" s="13">
        <v>44543.416666666664</v>
      </c>
      <c r="O12" s="6" t="s">
        <v>16</v>
      </c>
    </row>
    <row r="13" spans="1:16" hidden="1" x14ac:dyDescent="0.3">
      <c r="A13" s="25"/>
      <c r="B13" s="14"/>
      <c r="C13" s="23"/>
      <c r="D13" s="23"/>
      <c r="E13" s="23"/>
      <c r="F13" s="23"/>
      <c r="G13" s="23"/>
      <c r="H13" s="23"/>
      <c r="I13" s="23"/>
      <c r="J13" s="23"/>
      <c r="K13" s="23"/>
      <c r="L13" s="15"/>
      <c r="M13" s="23"/>
      <c r="N13" s="15"/>
    </row>
    <row r="14" spans="1:16" hidden="1" x14ac:dyDescent="0.3">
      <c r="A14" s="24" t="s">
        <v>17</v>
      </c>
      <c r="B14" s="14">
        <v>424</v>
      </c>
      <c r="C14" s="15"/>
      <c r="D14" s="23"/>
      <c r="E14" s="23"/>
      <c r="F14" s="17"/>
      <c r="G14" s="17"/>
      <c r="H14" s="15"/>
      <c r="I14" s="15"/>
      <c r="J14" s="15"/>
      <c r="K14" s="15"/>
      <c r="L14" s="15"/>
      <c r="M14" s="15"/>
      <c r="N14" s="13">
        <v>44544.770833333336</v>
      </c>
      <c r="O14" s="6" t="s">
        <v>16</v>
      </c>
    </row>
    <row r="15" spans="1:16" hidden="1" x14ac:dyDescent="0.3">
      <c r="A15" s="25"/>
      <c r="B15" s="14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</row>
    <row r="16" spans="1:16" hidden="1" x14ac:dyDescent="0.3">
      <c r="A16" s="24" t="s">
        <v>18</v>
      </c>
      <c r="B16" s="14">
        <v>442</v>
      </c>
      <c r="C16" s="15"/>
      <c r="D16" s="23"/>
      <c r="E16" s="23"/>
      <c r="F16" s="17"/>
      <c r="G16" s="17"/>
      <c r="H16" s="15"/>
      <c r="I16" s="15"/>
      <c r="J16" s="15"/>
      <c r="K16" s="15"/>
      <c r="L16" s="15"/>
      <c r="M16" s="15"/>
      <c r="N16" s="13">
        <v>44546.9375</v>
      </c>
      <c r="O16" s="6" t="s">
        <v>16</v>
      </c>
    </row>
    <row r="17" spans="1:15" hidden="1" x14ac:dyDescent="0.3">
      <c r="A17" s="25"/>
      <c r="B17" s="14"/>
      <c r="C17" s="23"/>
      <c r="D17" s="23"/>
      <c r="E17" s="23"/>
      <c r="F17" s="23"/>
      <c r="G17" s="15"/>
      <c r="H17" s="23"/>
      <c r="I17" s="23"/>
      <c r="J17" s="23"/>
      <c r="K17" s="23"/>
      <c r="L17" s="23"/>
      <c r="M17" s="23"/>
      <c r="N17" s="23"/>
    </row>
    <row r="18" spans="1:15" hidden="1" x14ac:dyDescent="0.3">
      <c r="A18" s="24" t="s">
        <v>18</v>
      </c>
      <c r="B18" s="14">
        <v>412</v>
      </c>
      <c r="C18" s="15"/>
      <c r="D18" s="23"/>
      <c r="E18" s="23"/>
      <c r="F18" s="17"/>
      <c r="G18" s="17"/>
      <c r="H18" s="15"/>
      <c r="I18" s="15"/>
      <c r="J18" s="15"/>
      <c r="K18" s="15"/>
      <c r="L18" s="15"/>
      <c r="M18" s="15"/>
      <c r="N18" s="13">
        <v>44548.104166666664</v>
      </c>
      <c r="O18" s="6" t="s">
        <v>16</v>
      </c>
    </row>
    <row r="19" spans="1:15" hidden="1" x14ac:dyDescent="0.3">
      <c r="A19" s="18"/>
      <c r="B19" s="14"/>
      <c r="C19" s="15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15"/>
    </row>
    <row r="20" spans="1:15" x14ac:dyDescent="0.3">
      <c r="A20" s="47">
        <v>202</v>
      </c>
      <c r="B20" s="14">
        <v>631</v>
      </c>
      <c r="C20" s="15"/>
      <c r="D20" s="23"/>
      <c r="E20" s="17"/>
      <c r="F20" s="17"/>
      <c r="G20" s="17"/>
      <c r="H20" s="15"/>
      <c r="I20" s="15"/>
      <c r="J20" s="15"/>
      <c r="K20" s="15"/>
      <c r="L20" s="15"/>
      <c r="M20" s="15"/>
      <c r="N20" s="13">
        <v>44670.5</v>
      </c>
      <c r="O20" s="6" t="s">
        <v>16</v>
      </c>
    </row>
    <row r="21" spans="1:15" x14ac:dyDescent="0.3">
      <c r="A21" s="45"/>
      <c r="B21" s="14"/>
      <c r="C21" s="23"/>
      <c r="D21" s="23"/>
      <c r="E21" s="17"/>
      <c r="F21" s="23"/>
      <c r="G21" s="23"/>
      <c r="H21" s="23"/>
      <c r="I21" s="23"/>
      <c r="J21" s="23"/>
      <c r="K21" s="23"/>
      <c r="L21" s="23"/>
      <c r="M21" s="23"/>
      <c r="N21" s="23"/>
    </row>
    <row r="22" spans="1:15" x14ac:dyDescent="0.3">
      <c r="A22" s="47">
        <v>202</v>
      </c>
      <c r="B22" s="14">
        <v>628</v>
      </c>
      <c r="C22" s="15"/>
      <c r="D22" s="23"/>
      <c r="E22" s="17"/>
      <c r="F22" s="17"/>
      <c r="G22" s="17"/>
      <c r="H22" s="15"/>
      <c r="I22" s="15"/>
      <c r="J22" s="15"/>
      <c r="K22" s="15"/>
      <c r="L22" s="15"/>
      <c r="M22" s="15"/>
      <c r="N22" s="13">
        <v>44672.583333333336</v>
      </c>
      <c r="O22" s="6" t="s">
        <v>16</v>
      </c>
    </row>
    <row r="23" spans="1:15" x14ac:dyDescent="0.3">
      <c r="A23" s="45"/>
      <c r="B23" s="14"/>
      <c r="C23" s="23"/>
      <c r="D23" s="23"/>
      <c r="E23" s="17"/>
      <c r="F23" s="23"/>
      <c r="G23" s="23"/>
      <c r="H23" s="23"/>
      <c r="I23" s="23"/>
      <c r="J23" s="23"/>
      <c r="K23" s="23"/>
      <c r="L23" s="23"/>
      <c r="M23" s="23"/>
      <c r="N23" s="23"/>
    </row>
    <row r="24" spans="1:15" x14ac:dyDescent="0.3">
      <c r="A24" s="45">
        <v>203</v>
      </c>
      <c r="B24" s="14">
        <v>630</v>
      </c>
      <c r="C24" s="15"/>
      <c r="D24" s="23"/>
      <c r="E24" s="17"/>
      <c r="F24" s="17"/>
      <c r="G24" s="17"/>
      <c r="H24" s="15"/>
      <c r="I24" s="15"/>
      <c r="J24" s="15"/>
      <c r="K24" s="15"/>
      <c r="L24" s="15"/>
      <c r="M24" s="15"/>
      <c r="N24" s="13">
        <v>44673.541666666664</v>
      </c>
    </row>
    <row r="25" spans="1:15" ht="15" customHeight="1" x14ac:dyDescent="0.3">
      <c r="A25" s="45"/>
      <c r="B25" s="14"/>
      <c r="C25" s="23"/>
      <c r="D25" s="23"/>
      <c r="E25" s="17"/>
      <c r="F25" s="23"/>
      <c r="G25" s="23"/>
      <c r="H25" s="15"/>
      <c r="I25" s="23"/>
      <c r="J25" s="23"/>
      <c r="K25" s="23"/>
      <c r="L25" s="23"/>
      <c r="M25" s="23"/>
      <c r="N25" s="23"/>
    </row>
    <row r="26" spans="1:15" x14ac:dyDescent="0.3">
      <c r="A26" s="47">
        <v>202</v>
      </c>
      <c r="B26" s="14">
        <v>633</v>
      </c>
      <c r="C26" s="15"/>
      <c r="D26" s="23"/>
      <c r="E26" s="17"/>
      <c r="F26" s="17"/>
      <c r="G26" s="17"/>
      <c r="H26" s="15"/>
      <c r="I26" s="15"/>
      <c r="J26" s="15"/>
      <c r="K26" s="15"/>
      <c r="L26" s="15"/>
      <c r="M26" s="15"/>
      <c r="N26" s="13">
        <v>44673.833333333336</v>
      </c>
      <c r="O26" s="48"/>
    </row>
    <row r="27" spans="1:15" ht="16.05" customHeight="1" x14ac:dyDescent="0.3">
      <c r="A27" s="45"/>
      <c r="B27" s="14"/>
      <c r="C27" s="23"/>
      <c r="D27" s="23"/>
      <c r="E27" s="17"/>
      <c r="F27" s="23"/>
      <c r="G27" s="23"/>
      <c r="H27" s="23"/>
      <c r="I27" s="23"/>
      <c r="J27" s="23"/>
      <c r="K27" s="23"/>
      <c r="L27" s="23"/>
      <c r="M27" s="23"/>
      <c r="N27" s="23"/>
    </row>
    <row r="28" spans="1:15" x14ac:dyDescent="0.3">
      <c r="A28" s="45">
        <v>203</v>
      </c>
      <c r="B28" s="14">
        <v>566</v>
      </c>
      <c r="C28" s="15"/>
      <c r="D28" s="23"/>
      <c r="E28" s="17"/>
      <c r="F28" s="17"/>
      <c r="G28" s="17"/>
      <c r="H28" s="15"/>
      <c r="I28" s="15"/>
      <c r="J28" s="15"/>
      <c r="K28" s="15"/>
      <c r="L28" s="15"/>
      <c r="M28" s="15"/>
      <c r="N28" s="13">
        <v>44673.979166666664</v>
      </c>
      <c r="O28" s="6" t="s">
        <v>38</v>
      </c>
    </row>
    <row r="29" spans="1:15" x14ac:dyDescent="0.3">
      <c r="A29" s="45"/>
      <c r="B29" s="14"/>
      <c r="C29" s="15"/>
      <c r="D29" s="23"/>
      <c r="E29" s="17"/>
      <c r="F29" s="17"/>
      <c r="G29" s="17"/>
      <c r="H29" s="17"/>
      <c r="I29" s="23"/>
      <c r="J29" s="23"/>
      <c r="K29" s="23"/>
      <c r="L29" s="23"/>
      <c r="M29" s="23"/>
      <c r="N29" s="23"/>
    </row>
    <row r="30" spans="1:15" x14ac:dyDescent="0.3">
      <c r="A30" s="45">
        <v>203</v>
      </c>
      <c r="B30" s="14">
        <v>634</v>
      </c>
      <c r="C30" s="15"/>
      <c r="D30" s="23"/>
      <c r="E30" s="17"/>
      <c r="F30" s="17"/>
      <c r="G30" s="17"/>
      <c r="H30" s="15"/>
      <c r="I30" s="15"/>
      <c r="J30" s="15"/>
      <c r="K30" s="15"/>
      <c r="L30" s="15"/>
      <c r="M30" s="15"/>
      <c r="N30" s="13">
        <v>44674.333333333336</v>
      </c>
      <c r="O30" s="6" t="s">
        <v>36</v>
      </c>
    </row>
    <row r="31" spans="1:15" x14ac:dyDescent="0.3">
      <c r="A31" s="45"/>
      <c r="B31" s="14"/>
      <c r="C31" s="15"/>
      <c r="D31" s="23"/>
      <c r="E31" s="17"/>
      <c r="F31" s="15"/>
      <c r="G31" s="23"/>
      <c r="H31" s="23"/>
      <c r="I31" s="23"/>
      <c r="J31" s="23"/>
      <c r="K31" s="23"/>
      <c r="L31" s="23"/>
      <c r="M31" s="23"/>
      <c r="N31" s="15"/>
    </row>
    <row r="32" spans="1:15" x14ac:dyDescent="0.3">
      <c r="A32" s="45">
        <v>204</v>
      </c>
      <c r="B32" s="14">
        <v>632</v>
      </c>
      <c r="C32" s="15"/>
      <c r="D32" s="23"/>
      <c r="E32" s="17"/>
      <c r="F32" s="17"/>
      <c r="G32" s="17"/>
      <c r="H32" s="15"/>
      <c r="I32" s="15"/>
      <c r="J32" s="15"/>
      <c r="K32" s="15"/>
      <c r="L32" s="13">
        <v>44674.958333333336</v>
      </c>
      <c r="M32" s="15">
        <v>44675.125</v>
      </c>
      <c r="N32" s="15">
        <v>44675.208333333336</v>
      </c>
      <c r="O32" s="6" t="s">
        <v>39</v>
      </c>
    </row>
    <row r="33" spans="1:15" x14ac:dyDescent="0.3">
      <c r="A33" s="45"/>
      <c r="B33" s="14"/>
      <c r="C33" s="23"/>
      <c r="D33" s="23"/>
      <c r="E33" s="17"/>
      <c r="F33" s="23"/>
      <c r="G33" s="23"/>
      <c r="H33" s="23"/>
      <c r="I33" s="23"/>
      <c r="J33" s="23"/>
      <c r="K33" s="23"/>
      <c r="L33" s="23"/>
      <c r="M33" s="23"/>
      <c r="N33" s="23"/>
    </row>
    <row r="34" spans="1:15" x14ac:dyDescent="0.3">
      <c r="A34" s="45">
        <v>204</v>
      </c>
      <c r="B34" s="14">
        <v>635</v>
      </c>
      <c r="C34" s="15"/>
      <c r="D34" s="23"/>
      <c r="E34" s="17"/>
      <c r="F34" s="17"/>
      <c r="G34" s="17"/>
      <c r="H34" s="15"/>
      <c r="I34" s="13">
        <v>44673.75</v>
      </c>
      <c r="J34" s="15">
        <v>44673.833333333336</v>
      </c>
      <c r="K34" s="15">
        <v>44674.083333333336</v>
      </c>
      <c r="L34" s="15">
        <v>44674.416666666664</v>
      </c>
      <c r="M34" s="15">
        <v>44675.291666666664</v>
      </c>
      <c r="N34" s="15">
        <v>44675.375</v>
      </c>
      <c r="O34" s="6" t="s">
        <v>40</v>
      </c>
    </row>
    <row r="35" spans="1:15" x14ac:dyDescent="0.3">
      <c r="A35" s="45"/>
      <c r="B35" s="14"/>
      <c r="C35" s="23"/>
      <c r="D35" s="23"/>
      <c r="E35" s="17"/>
      <c r="F35" s="23"/>
      <c r="G35" s="23"/>
      <c r="H35" s="23"/>
      <c r="I35" s="23"/>
      <c r="J35" s="23"/>
      <c r="K35" s="23"/>
      <c r="L35" s="23"/>
      <c r="M35" s="23">
        <v>17</v>
      </c>
      <c r="N35" s="23"/>
    </row>
    <row r="36" spans="1:15" x14ac:dyDescent="0.3">
      <c r="A36" s="45">
        <v>204</v>
      </c>
      <c r="B36" s="14">
        <v>626</v>
      </c>
      <c r="C36" s="15"/>
      <c r="D36" s="23"/>
      <c r="E36" s="17"/>
      <c r="F36" s="17"/>
      <c r="G36" s="17"/>
      <c r="H36" s="15"/>
      <c r="I36" s="13">
        <v>44673.916666666664</v>
      </c>
      <c r="J36" s="15">
        <v>44674</v>
      </c>
      <c r="K36" s="15">
        <v>44674.333333333336</v>
      </c>
      <c r="L36" s="15">
        <v>44674.75</v>
      </c>
      <c r="M36" s="15">
        <v>44675.458333333336</v>
      </c>
      <c r="N36" s="15">
        <v>44675.541666666664</v>
      </c>
      <c r="O36" s="6" t="s">
        <v>41</v>
      </c>
    </row>
    <row r="37" spans="1:15" x14ac:dyDescent="0.3">
      <c r="A37" s="45"/>
      <c r="B37" s="14"/>
      <c r="C37" s="23"/>
      <c r="D37" s="23"/>
      <c r="E37" s="17"/>
      <c r="F37" s="23"/>
      <c r="G37" s="23"/>
      <c r="H37" s="23"/>
      <c r="I37" s="23"/>
      <c r="J37" s="23"/>
      <c r="K37" s="23">
        <v>2</v>
      </c>
      <c r="L37" s="23">
        <v>2</v>
      </c>
      <c r="M37" s="23">
        <v>13</v>
      </c>
      <c r="N37" s="23"/>
    </row>
    <row r="38" spans="1:15" x14ac:dyDescent="0.3">
      <c r="A38" s="45">
        <v>205</v>
      </c>
      <c r="B38" s="14">
        <v>637</v>
      </c>
      <c r="C38" s="15"/>
      <c r="D38" s="23"/>
      <c r="E38" s="17"/>
      <c r="F38" s="17"/>
      <c r="G38" s="17"/>
      <c r="H38" s="13">
        <v>44674.041666666664</v>
      </c>
      <c r="I38" s="15">
        <v>44674.416666666664</v>
      </c>
      <c r="J38" s="15">
        <v>44674.5</v>
      </c>
      <c r="K38" s="15">
        <v>44674.75</v>
      </c>
      <c r="L38" s="15">
        <v>44675.083333333336</v>
      </c>
      <c r="M38" s="15">
        <v>44675.625</v>
      </c>
      <c r="N38" s="15">
        <v>44675.708333333336</v>
      </c>
      <c r="O38" s="6" t="s">
        <v>46</v>
      </c>
    </row>
    <row r="39" spans="1:15" x14ac:dyDescent="0.3">
      <c r="A39" s="45"/>
      <c r="B39" s="14"/>
      <c r="C39" s="23"/>
      <c r="D39" s="23"/>
      <c r="E39" s="17"/>
      <c r="F39" s="23"/>
      <c r="G39" s="23"/>
      <c r="H39" s="23"/>
      <c r="I39" s="23"/>
      <c r="J39" s="23"/>
      <c r="K39" s="23"/>
      <c r="L39" s="23"/>
      <c r="M39" s="23">
        <v>9</v>
      </c>
      <c r="N39" s="23"/>
    </row>
    <row r="40" spans="1:15" x14ac:dyDescent="0.3">
      <c r="A40" s="45">
        <v>205</v>
      </c>
      <c r="B40" s="14">
        <v>636</v>
      </c>
      <c r="C40" s="15"/>
      <c r="D40" s="23"/>
      <c r="E40" s="17"/>
      <c r="F40" s="17"/>
      <c r="G40" s="17"/>
      <c r="H40" s="13">
        <v>44674.833333333336</v>
      </c>
      <c r="I40" s="15">
        <v>44675.208333333336</v>
      </c>
      <c r="J40" s="15">
        <v>44675.291666666664</v>
      </c>
      <c r="K40" s="15">
        <v>44675.541666666664</v>
      </c>
      <c r="L40" s="15">
        <v>44675.875</v>
      </c>
      <c r="M40" s="15">
        <v>44676.041666666664</v>
      </c>
      <c r="N40" s="15">
        <v>44676.125</v>
      </c>
      <c r="O40" s="6" t="s">
        <v>44</v>
      </c>
    </row>
    <row r="41" spans="1:15" x14ac:dyDescent="0.3">
      <c r="A41" s="45"/>
      <c r="B41" s="14"/>
      <c r="C41" s="23"/>
      <c r="D41" s="23"/>
      <c r="E41" s="17"/>
      <c r="F41" s="23"/>
      <c r="G41" s="23"/>
      <c r="H41" s="23"/>
      <c r="I41" s="23"/>
      <c r="J41" s="23"/>
      <c r="K41" s="23"/>
      <c r="L41" s="23"/>
      <c r="M41" s="23"/>
      <c r="N41" s="23"/>
    </row>
    <row r="42" spans="1:15" x14ac:dyDescent="0.3">
      <c r="A42" s="45">
        <v>205</v>
      </c>
      <c r="B42" s="14">
        <v>638</v>
      </c>
      <c r="C42" s="15"/>
      <c r="D42" s="23"/>
      <c r="E42" s="17"/>
      <c r="F42" s="17"/>
      <c r="G42" s="17"/>
      <c r="H42" s="13">
        <v>44675.208333333336</v>
      </c>
      <c r="I42" s="15">
        <v>44675.583333333336</v>
      </c>
      <c r="J42" s="15">
        <v>44675.666666666664</v>
      </c>
      <c r="K42" s="30">
        <v>44675.916666666664</v>
      </c>
      <c r="L42" s="15">
        <v>44676.25</v>
      </c>
      <c r="M42" s="15">
        <v>44676.416666666664</v>
      </c>
      <c r="N42" s="15">
        <v>44676.5</v>
      </c>
      <c r="O42" s="6" t="s">
        <v>45</v>
      </c>
    </row>
    <row r="43" spans="1:15" x14ac:dyDescent="0.3">
      <c r="A43" s="45"/>
      <c r="B43" s="14"/>
      <c r="C43" s="23"/>
      <c r="D43" s="23"/>
      <c r="E43" s="17"/>
      <c r="F43" s="23"/>
      <c r="G43" s="23"/>
      <c r="H43" s="23"/>
      <c r="I43" s="23"/>
      <c r="J43" s="23"/>
      <c r="K43" s="23"/>
      <c r="L43" s="23"/>
      <c r="M43" s="23"/>
      <c r="N43" s="23"/>
    </row>
    <row r="44" spans="1:15" x14ac:dyDescent="0.3">
      <c r="A44" s="45" t="s">
        <v>33</v>
      </c>
      <c r="B44" s="14">
        <v>640</v>
      </c>
      <c r="C44" s="15"/>
      <c r="D44" s="23">
        <v>44673.354166666664</v>
      </c>
      <c r="E44" s="15">
        <v>44673.354166666664</v>
      </c>
      <c r="F44" s="13">
        <v>44674.020833333336</v>
      </c>
      <c r="G44" s="15">
        <v>44674.020833333336</v>
      </c>
      <c r="H44" s="15">
        <v>44674.375</v>
      </c>
      <c r="I44" s="15">
        <v>44675.958333333336</v>
      </c>
      <c r="J44" s="15">
        <v>44676.041666666664</v>
      </c>
      <c r="K44" s="15">
        <v>44676.291666666664</v>
      </c>
      <c r="L44" s="15">
        <v>44676.625</v>
      </c>
      <c r="M44" s="15">
        <v>44676.791666666664</v>
      </c>
      <c r="N44" s="15">
        <v>44676.875</v>
      </c>
      <c r="O44" s="6" t="s">
        <v>42</v>
      </c>
    </row>
    <row r="45" spans="1:15" x14ac:dyDescent="0.3">
      <c r="A45" s="45"/>
      <c r="B45" s="14"/>
      <c r="C45" s="23"/>
      <c r="D45" s="23"/>
      <c r="E45" s="17"/>
      <c r="F45" s="23"/>
      <c r="G45" s="23"/>
      <c r="H45" s="23">
        <v>0.5</v>
      </c>
      <c r="I45" s="23">
        <v>29</v>
      </c>
      <c r="J45" s="23"/>
      <c r="K45" s="23"/>
      <c r="L45" s="23"/>
      <c r="M45" s="23"/>
      <c r="N45" s="23"/>
    </row>
    <row r="46" spans="1:15" x14ac:dyDescent="0.3">
      <c r="A46" s="45" t="s">
        <v>33</v>
      </c>
      <c r="B46" s="14">
        <v>641</v>
      </c>
      <c r="C46" s="13">
        <v>44673.770833333336</v>
      </c>
      <c r="D46" s="23">
        <v>44673.770833333336</v>
      </c>
      <c r="E46" s="15">
        <v>44673.770833333336</v>
      </c>
      <c r="F46" s="15">
        <v>44674.4375</v>
      </c>
      <c r="G46" s="15">
        <v>44674.4375</v>
      </c>
      <c r="H46" s="15">
        <v>44674.770833333336</v>
      </c>
      <c r="I46" s="15">
        <v>44676.333333333336</v>
      </c>
      <c r="J46" s="15">
        <v>44676.416666666664</v>
      </c>
      <c r="K46" s="15">
        <v>44676.666666666664</v>
      </c>
      <c r="L46" s="15">
        <v>44677</v>
      </c>
      <c r="M46" s="15">
        <v>44677.166666666664</v>
      </c>
      <c r="N46" s="15">
        <v>44677.25</v>
      </c>
    </row>
    <row r="47" spans="1:15" x14ac:dyDescent="0.3">
      <c r="A47" s="45"/>
      <c r="B47" s="14"/>
      <c r="C47" s="23"/>
      <c r="D47" s="23"/>
      <c r="E47" s="17"/>
      <c r="F47" s="23"/>
      <c r="G47" s="23"/>
      <c r="H47" s="23"/>
      <c r="I47" s="23">
        <v>28.5</v>
      </c>
      <c r="J47" s="23"/>
      <c r="K47" s="23"/>
      <c r="L47" s="23"/>
      <c r="M47" s="23"/>
      <c r="N47" s="23"/>
    </row>
    <row r="48" spans="1:15" x14ac:dyDescent="0.3">
      <c r="A48" s="45">
        <v>206</v>
      </c>
      <c r="B48" s="14">
        <v>642</v>
      </c>
      <c r="C48" s="13">
        <v>44674.1875</v>
      </c>
      <c r="D48" s="23">
        <v>44674.1875</v>
      </c>
      <c r="E48" s="15">
        <v>44674.1875</v>
      </c>
      <c r="F48" s="15">
        <v>44674.854166666664</v>
      </c>
      <c r="G48" s="15">
        <v>44674.854166666664</v>
      </c>
      <c r="H48" s="15">
        <v>44675.1875</v>
      </c>
      <c r="I48" s="15">
        <v>44676.708333333336</v>
      </c>
      <c r="J48" s="15">
        <v>44676.791666666664</v>
      </c>
      <c r="K48" s="15">
        <v>44677.041666666664</v>
      </c>
      <c r="L48" s="15">
        <v>44677.375</v>
      </c>
      <c r="M48" s="15">
        <v>44677.541666666664</v>
      </c>
      <c r="N48" s="15">
        <v>44677.625</v>
      </c>
    </row>
    <row r="49" spans="1:15" x14ac:dyDescent="0.3">
      <c r="A49" s="45"/>
      <c r="B49" s="14"/>
      <c r="C49" s="23"/>
      <c r="D49" s="23"/>
      <c r="E49" s="17"/>
      <c r="F49" s="23"/>
      <c r="G49" s="23"/>
      <c r="H49" s="23"/>
      <c r="I49" s="23">
        <v>27.5</v>
      </c>
      <c r="J49" s="23"/>
      <c r="K49" s="23"/>
      <c r="L49" s="23"/>
      <c r="M49" s="23"/>
      <c r="N49" s="23"/>
    </row>
    <row r="50" spans="1:15" x14ac:dyDescent="0.3">
      <c r="A50" s="45">
        <v>206</v>
      </c>
      <c r="B50" s="14">
        <v>643</v>
      </c>
      <c r="C50" s="13">
        <v>44674.604166666664</v>
      </c>
      <c r="D50" s="23">
        <v>44674.604166666664</v>
      </c>
      <c r="E50" s="15">
        <v>44674.604166666664</v>
      </c>
      <c r="F50" s="15">
        <v>44675.270833333336</v>
      </c>
      <c r="G50" s="15">
        <v>44675.270833333336</v>
      </c>
      <c r="H50" s="15">
        <v>44675.604166666664</v>
      </c>
      <c r="I50" s="15">
        <v>44677.083333333336</v>
      </c>
      <c r="J50" s="15">
        <v>44677.166666666664</v>
      </c>
      <c r="K50" s="15">
        <v>44677.416666666664</v>
      </c>
      <c r="L50" s="15">
        <v>44677.75</v>
      </c>
      <c r="M50" s="15">
        <v>44677.916666666664</v>
      </c>
      <c r="N50" s="15">
        <v>44678</v>
      </c>
    </row>
    <row r="51" spans="1:15" x14ac:dyDescent="0.3">
      <c r="A51" s="45"/>
      <c r="B51" s="14"/>
      <c r="C51" s="23"/>
      <c r="D51" s="23"/>
      <c r="E51" s="17"/>
      <c r="F51" s="23"/>
      <c r="G51" s="23"/>
      <c r="H51" s="23"/>
      <c r="I51" s="23">
        <v>26.5</v>
      </c>
      <c r="J51" s="23"/>
      <c r="K51" s="23"/>
      <c r="L51" s="23"/>
      <c r="M51" s="23"/>
      <c r="N51" s="23"/>
    </row>
    <row r="52" spans="1:15" x14ac:dyDescent="0.3">
      <c r="A52" s="45" t="s">
        <v>33</v>
      </c>
      <c r="B52" s="14">
        <v>639</v>
      </c>
      <c r="C52" s="13">
        <v>44671.9375</v>
      </c>
      <c r="D52" s="23">
        <v>44674.604166666664</v>
      </c>
      <c r="E52" s="15">
        <v>44674.604166666664</v>
      </c>
      <c r="F52" s="15">
        <v>44675.520833333336</v>
      </c>
      <c r="G52" s="15">
        <v>44675.520833333336</v>
      </c>
      <c r="H52" s="15">
        <v>44675.854166666664</v>
      </c>
      <c r="I52" s="15">
        <v>44677.458333333336</v>
      </c>
      <c r="J52" s="15">
        <v>44677.541666666664</v>
      </c>
      <c r="K52" s="15">
        <v>44677.791666666664</v>
      </c>
      <c r="L52" s="15">
        <v>44678.125</v>
      </c>
      <c r="M52" s="15">
        <v>44678.291666666664</v>
      </c>
      <c r="N52" s="15">
        <v>44678.375</v>
      </c>
      <c r="O52" s="6" t="s">
        <v>37</v>
      </c>
    </row>
    <row r="53" spans="1:15" x14ac:dyDescent="0.3">
      <c r="A53" s="45"/>
      <c r="B53" s="14"/>
      <c r="C53" s="23"/>
      <c r="D53" s="23">
        <v>64</v>
      </c>
      <c r="E53" s="17"/>
      <c r="F53" s="23">
        <v>6</v>
      </c>
      <c r="G53" s="23"/>
      <c r="H53" s="23"/>
      <c r="I53" s="23">
        <v>29.5</v>
      </c>
      <c r="J53" s="23"/>
      <c r="K53" s="23"/>
      <c r="L53" s="23"/>
      <c r="M53" s="23"/>
      <c r="N53" s="23"/>
    </row>
    <row r="54" spans="1:15" x14ac:dyDescent="0.3">
      <c r="A54" s="45" t="s">
        <v>33</v>
      </c>
      <c r="B54" s="14">
        <v>610</v>
      </c>
      <c r="C54" s="15"/>
      <c r="D54" s="23"/>
      <c r="E54" s="15"/>
      <c r="F54" s="13">
        <v>44686.125</v>
      </c>
      <c r="G54" s="15">
        <v>44686.125</v>
      </c>
      <c r="H54" s="15">
        <v>44686.458333333336</v>
      </c>
      <c r="I54" s="15">
        <v>44686.833333333336</v>
      </c>
      <c r="J54" s="15">
        <v>44686.916666666664</v>
      </c>
      <c r="K54" s="15">
        <v>44687.166666666664</v>
      </c>
      <c r="L54" s="15">
        <v>44687.5</v>
      </c>
      <c r="M54" s="15">
        <v>44687.666666666664</v>
      </c>
      <c r="N54" s="15">
        <v>44687.75</v>
      </c>
      <c r="O54" s="6" t="s">
        <v>35</v>
      </c>
    </row>
    <row r="55" spans="1:15" x14ac:dyDescent="0.3">
      <c r="A55" s="45"/>
      <c r="B55" s="14"/>
      <c r="C55" s="23"/>
      <c r="D55" s="23"/>
      <c r="E55" s="17"/>
      <c r="F55" s="23"/>
      <c r="G55" s="23"/>
      <c r="H55" s="23"/>
      <c r="I55" s="23"/>
      <c r="J55" s="23"/>
      <c r="K55" s="23"/>
      <c r="L55" s="23"/>
      <c r="M55" s="23"/>
      <c r="N55" s="23"/>
    </row>
    <row r="56" spans="1:15" x14ac:dyDescent="0.3">
      <c r="A56" s="45" t="s">
        <v>33</v>
      </c>
      <c r="B56" s="14">
        <v>596</v>
      </c>
      <c r="C56" s="15"/>
      <c r="D56" s="23"/>
      <c r="E56" s="17"/>
      <c r="F56" s="13">
        <v>44686.125</v>
      </c>
      <c r="G56" s="15">
        <v>44686.125</v>
      </c>
      <c r="H56" s="15">
        <v>44686.458333333336</v>
      </c>
      <c r="I56" s="15">
        <v>44687.208333333336</v>
      </c>
      <c r="J56" s="15">
        <v>44687.291666666664</v>
      </c>
      <c r="K56" s="15">
        <v>44687.541666666664</v>
      </c>
      <c r="L56" s="15">
        <v>44687.875</v>
      </c>
      <c r="M56" s="15">
        <v>44688.041666666664</v>
      </c>
      <c r="N56" s="15">
        <v>44688.125</v>
      </c>
      <c r="O56" s="6" t="s">
        <v>32</v>
      </c>
    </row>
    <row r="57" spans="1:15" x14ac:dyDescent="0.3">
      <c r="A57" s="45"/>
      <c r="B57" s="14"/>
      <c r="C57" s="17"/>
      <c r="D57" s="23"/>
      <c r="E57" s="17"/>
      <c r="F57" s="23"/>
      <c r="G57" s="23"/>
      <c r="H57" s="23"/>
      <c r="I57" s="23">
        <v>9</v>
      </c>
      <c r="J57" s="23"/>
      <c r="K57" s="23"/>
      <c r="L57" s="23"/>
      <c r="M57" s="23"/>
      <c r="N57" s="23"/>
    </row>
  </sheetData>
  <mergeCells count="1">
    <mergeCell ref="A8:N8"/>
  </mergeCells>
  <pageMargins left="0.25" right="0.25" top="0.75" bottom="0.75" header="0.3" footer="0.3"/>
  <pageSetup paperSize="9" scale="42" orientation="landscape" r:id="rId1"/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>
              <from>
                <xdr:col>0</xdr:col>
                <xdr:colOff>60960</xdr:colOff>
                <xdr:row>5</xdr:row>
                <xdr:rowOff>106680</xdr:rowOff>
              </from>
              <to>
                <xdr:col>1</xdr:col>
                <xdr:colOff>289560</xdr:colOff>
                <xdr:row>6</xdr:row>
                <xdr:rowOff>190500</xdr:rowOff>
              </to>
            </anchor>
          </controlPr>
        </control>
      </mc:Choice>
      <mc:Fallback>
        <control shapeId="2048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5FB38-1E5B-41B0-8E3F-09D3AB6F9A58}">
  <sheetPr codeName="Sayfa1"/>
  <dimension ref="A1:S36"/>
  <sheetViews>
    <sheetView topLeftCell="A2" zoomScale="85" zoomScaleNormal="85" workbookViewId="0">
      <selection activeCell="S19" sqref="D6:S19"/>
    </sheetView>
  </sheetViews>
  <sheetFormatPr defaultRowHeight="14.4" x14ac:dyDescent="0.3"/>
  <cols>
    <col min="1" max="2" width="8.77734375" style="31"/>
    <col min="3" max="3" width="7.6640625" style="43" customWidth="1"/>
    <col min="4" max="4" width="5.77734375" customWidth="1"/>
    <col min="5" max="5" width="5.21875" customWidth="1"/>
    <col min="6" max="6" width="4.6640625" customWidth="1"/>
    <col min="8" max="16" width="2.21875" customWidth="1"/>
    <col min="17" max="17" width="1" customWidth="1"/>
    <col min="18" max="18" width="3.33203125" customWidth="1"/>
    <col min="19" max="19" width="82.5546875" style="44" customWidth="1"/>
  </cols>
  <sheetData>
    <row r="1" spans="3:19" s="31" customFormat="1" x14ac:dyDescent="0.3">
      <c r="C1" s="43"/>
      <c r="S1" s="44"/>
    </row>
    <row r="2" spans="3:19" s="31" customFormat="1" x14ac:dyDescent="0.3">
      <c r="C2" s="43"/>
      <c r="S2" s="44"/>
    </row>
    <row r="3" spans="3:19" s="31" customFormat="1" x14ac:dyDescent="0.3">
      <c r="C3" s="43"/>
      <c r="S3" s="44"/>
    </row>
    <row r="4" spans="3:19" s="31" customFormat="1" ht="13.5" customHeight="1" thickBot="1" x14ac:dyDescent="0.35">
      <c r="C4" s="43"/>
      <c r="S4" s="44"/>
    </row>
    <row r="5" spans="3:19" ht="15" hidden="1" thickBot="1" x14ac:dyDescent="0.35"/>
    <row r="6" spans="3:19" ht="15.45" customHeight="1" thickBot="1" x14ac:dyDescent="0.35">
      <c r="D6" s="56" t="s">
        <v>19</v>
      </c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3:19" ht="53.55" customHeight="1" thickBot="1" x14ac:dyDescent="0.35">
      <c r="D7" s="57"/>
      <c r="E7" s="32" t="s">
        <v>20</v>
      </c>
      <c r="F7" s="32" t="s">
        <v>2</v>
      </c>
      <c r="G7" s="33" t="s">
        <v>21</v>
      </c>
      <c r="H7" s="27" t="s">
        <v>22</v>
      </c>
      <c r="I7" s="27" t="s">
        <v>23</v>
      </c>
      <c r="J7" s="27" t="s">
        <v>24</v>
      </c>
      <c r="K7" s="27" t="s">
        <v>25</v>
      </c>
      <c r="L7" s="27" t="s">
        <v>26</v>
      </c>
      <c r="M7" s="27" t="s">
        <v>27</v>
      </c>
      <c r="N7" s="27" t="s">
        <v>28</v>
      </c>
      <c r="O7" s="27" t="s">
        <v>1</v>
      </c>
      <c r="P7" s="27" t="s">
        <v>29</v>
      </c>
      <c r="Q7" s="58" t="s">
        <v>30</v>
      </c>
      <c r="R7" s="59"/>
    </row>
    <row r="8" spans="3:19" ht="15" thickBot="1" x14ac:dyDescent="0.35">
      <c r="C8" s="53"/>
      <c r="D8" s="35" t="s">
        <v>43</v>
      </c>
      <c r="E8" s="36">
        <v>202</v>
      </c>
      <c r="F8" s="36">
        <v>628</v>
      </c>
      <c r="G8" s="37" t="s">
        <v>34</v>
      </c>
      <c r="H8" s="28"/>
      <c r="I8" s="28"/>
      <c r="J8" s="28"/>
      <c r="K8" s="28"/>
      <c r="L8" s="28"/>
      <c r="M8" s="28"/>
      <c r="N8" s="28"/>
      <c r="O8" s="28"/>
      <c r="P8" s="28"/>
      <c r="Q8" s="54">
        <v>1</v>
      </c>
      <c r="R8" s="55"/>
    </row>
    <row r="9" spans="3:19" ht="15" thickBot="1" x14ac:dyDescent="0.35">
      <c r="C9" s="53"/>
      <c r="D9" s="38" t="s">
        <v>43</v>
      </c>
      <c r="E9" s="34">
        <v>202</v>
      </c>
      <c r="F9" s="34">
        <v>631</v>
      </c>
      <c r="G9" s="39" t="s">
        <v>34</v>
      </c>
      <c r="H9" s="28"/>
      <c r="I9" s="28"/>
      <c r="J9" s="28"/>
      <c r="K9" s="28"/>
      <c r="L9" s="28"/>
      <c r="M9" s="28"/>
      <c r="N9" s="28"/>
      <c r="O9" s="28"/>
      <c r="P9" s="28"/>
      <c r="Q9" s="54">
        <v>1</v>
      </c>
      <c r="R9" s="55"/>
    </row>
    <row r="10" spans="3:19" ht="15" thickBot="1" x14ac:dyDescent="0.35">
      <c r="C10" s="53"/>
      <c r="D10" s="40" t="s">
        <v>43</v>
      </c>
      <c r="E10" s="41">
        <v>202</v>
      </c>
      <c r="F10" s="41">
        <v>633</v>
      </c>
      <c r="G10" s="42" t="s">
        <v>34</v>
      </c>
      <c r="H10" s="28"/>
      <c r="I10" s="28"/>
      <c r="J10" s="28"/>
      <c r="K10" s="28"/>
      <c r="L10" s="28"/>
      <c r="M10" s="28"/>
      <c r="N10" s="28"/>
      <c r="O10" s="28"/>
      <c r="P10" s="46"/>
      <c r="Q10" s="51">
        <v>0.95</v>
      </c>
      <c r="R10" s="52"/>
    </row>
    <row r="11" spans="3:19" ht="15" thickBot="1" x14ac:dyDescent="0.35">
      <c r="C11" s="53"/>
      <c r="D11" s="35" t="s">
        <v>43</v>
      </c>
      <c r="E11" s="36">
        <v>203</v>
      </c>
      <c r="F11" s="36">
        <v>630</v>
      </c>
      <c r="G11" s="37" t="s">
        <v>31</v>
      </c>
      <c r="H11" s="28"/>
      <c r="I11" s="28"/>
      <c r="J11" s="28"/>
      <c r="K11" s="28"/>
      <c r="L11" s="28"/>
      <c r="M11" s="28"/>
      <c r="N11" s="28"/>
      <c r="O11" s="28"/>
      <c r="P11" s="28"/>
      <c r="Q11" s="54">
        <v>1</v>
      </c>
      <c r="R11" s="55"/>
    </row>
    <row r="12" spans="3:19" ht="15" thickBot="1" x14ac:dyDescent="0.35">
      <c r="C12" s="53"/>
      <c r="D12" s="38" t="s">
        <v>43</v>
      </c>
      <c r="E12" s="34">
        <v>203</v>
      </c>
      <c r="F12" s="34">
        <v>566</v>
      </c>
      <c r="G12" s="39" t="s">
        <v>31</v>
      </c>
      <c r="H12" s="28"/>
      <c r="I12" s="28"/>
      <c r="J12" s="28"/>
      <c r="K12" s="28"/>
      <c r="L12" s="28"/>
      <c r="M12" s="28"/>
      <c r="N12" s="28"/>
      <c r="O12" s="28"/>
      <c r="P12" s="46"/>
      <c r="Q12" s="51">
        <v>0.97</v>
      </c>
      <c r="R12" s="52"/>
    </row>
    <row r="13" spans="3:19" ht="15" thickBot="1" x14ac:dyDescent="0.35">
      <c r="C13" s="53"/>
      <c r="D13" s="40" t="s">
        <v>43</v>
      </c>
      <c r="E13" s="41">
        <v>203</v>
      </c>
      <c r="F13" s="41">
        <v>634</v>
      </c>
      <c r="G13" s="42" t="s">
        <v>31</v>
      </c>
      <c r="H13" s="28"/>
      <c r="I13" s="28"/>
      <c r="J13" s="28"/>
      <c r="K13" s="28"/>
      <c r="L13" s="28"/>
      <c r="M13" s="28"/>
      <c r="N13" s="28"/>
      <c r="O13" s="28"/>
      <c r="P13" s="46"/>
      <c r="Q13" s="51">
        <v>0.85</v>
      </c>
      <c r="R13" s="52"/>
    </row>
    <row r="14" spans="3:19" ht="15" thickBot="1" x14ac:dyDescent="0.35">
      <c r="C14" s="53"/>
      <c r="D14" s="35" t="s">
        <v>43</v>
      </c>
      <c r="E14" s="36">
        <v>204</v>
      </c>
      <c r="F14" s="36">
        <v>632</v>
      </c>
      <c r="G14" s="37" t="s">
        <v>31</v>
      </c>
      <c r="H14" s="28"/>
      <c r="I14" s="28"/>
      <c r="J14" s="28"/>
      <c r="K14" s="28"/>
      <c r="L14" s="28"/>
      <c r="M14" s="28"/>
      <c r="N14" s="28"/>
      <c r="O14" s="46"/>
      <c r="P14" s="29"/>
      <c r="Q14" s="51">
        <v>0.75</v>
      </c>
      <c r="R14" s="52"/>
    </row>
    <row r="15" spans="3:19" ht="15" thickBot="1" x14ac:dyDescent="0.35">
      <c r="C15" s="53"/>
      <c r="D15" s="38" t="s">
        <v>43</v>
      </c>
      <c r="E15" s="34">
        <v>204</v>
      </c>
      <c r="F15" s="34">
        <v>635</v>
      </c>
      <c r="G15" s="39" t="s">
        <v>31</v>
      </c>
      <c r="H15" s="28"/>
      <c r="I15" s="28"/>
      <c r="J15" s="28"/>
      <c r="K15" s="28"/>
      <c r="L15" s="28"/>
      <c r="M15" s="46"/>
      <c r="N15" s="29"/>
      <c r="O15" s="29"/>
      <c r="P15" s="29"/>
      <c r="Q15" s="51">
        <v>0.65</v>
      </c>
      <c r="R15" s="52"/>
    </row>
    <row r="16" spans="3:19" ht="15" thickBot="1" x14ac:dyDescent="0.35">
      <c r="C16" s="53"/>
      <c r="D16" s="40" t="s">
        <v>43</v>
      </c>
      <c r="E16" s="41">
        <v>204</v>
      </c>
      <c r="F16" s="41">
        <v>626</v>
      </c>
      <c r="G16" s="42" t="s">
        <v>31</v>
      </c>
      <c r="H16" s="28"/>
      <c r="I16" s="28"/>
      <c r="J16" s="28"/>
      <c r="K16" s="28"/>
      <c r="L16" s="46"/>
      <c r="M16" s="29"/>
      <c r="N16" s="29"/>
      <c r="O16" s="29"/>
      <c r="P16" s="29"/>
      <c r="Q16" s="51">
        <v>0.6</v>
      </c>
      <c r="R16" s="52"/>
    </row>
    <row r="17" spans="3:19" ht="24.6" thickBot="1" x14ac:dyDescent="0.35">
      <c r="C17" s="50"/>
      <c r="D17" s="35" t="s">
        <v>43</v>
      </c>
      <c r="E17" s="36">
        <v>205</v>
      </c>
      <c r="F17" s="36">
        <v>637</v>
      </c>
      <c r="G17" s="37" t="s">
        <v>31</v>
      </c>
      <c r="H17" s="28"/>
      <c r="I17" s="28"/>
      <c r="J17" s="28"/>
      <c r="K17" s="28"/>
      <c r="L17" s="46"/>
      <c r="M17" s="29"/>
      <c r="N17" s="29"/>
      <c r="O17" s="29"/>
      <c r="P17" s="29"/>
      <c r="Q17" s="51">
        <v>0.5</v>
      </c>
      <c r="R17" s="52"/>
      <c r="S17" s="44" t="s">
        <v>47</v>
      </c>
    </row>
    <row r="18" spans="3:19" ht="48.6" thickBot="1" x14ac:dyDescent="0.35">
      <c r="C18" s="50"/>
      <c r="D18" s="38" t="s">
        <v>43</v>
      </c>
      <c r="E18" s="34">
        <v>205</v>
      </c>
      <c r="F18" s="34">
        <v>636</v>
      </c>
      <c r="G18" s="39" t="s">
        <v>31</v>
      </c>
      <c r="H18" s="28"/>
      <c r="I18" s="28"/>
      <c r="J18" s="46"/>
      <c r="K18" s="29"/>
      <c r="L18" s="29"/>
      <c r="M18" s="29"/>
      <c r="N18" s="29"/>
      <c r="O18" s="29"/>
      <c r="P18" s="29"/>
      <c r="Q18" s="51">
        <v>0.4</v>
      </c>
      <c r="R18" s="52"/>
      <c r="S18" s="44" t="s">
        <v>48</v>
      </c>
    </row>
    <row r="19" spans="3:19" ht="36.6" thickBot="1" x14ac:dyDescent="0.35">
      <c r="C19" s="50"/>
      <c r="D19" s="40" t="s">
        <v>43</v>
      </c>
      <c r="E19" s="41">
        <v>205</v>
      </c>
      <c r="F19" s="41">
        <v>638</v>
      </c>
      <c r="G19" s="42" t="s">
        <v>31</v>
      </c>
      <c r="H19" s="28"/>
      <c r="I19" s="46"/>
      <c r="J19" s="29"/>
      <c r="K19" s="29"/>
      <c r="L19" s="29"/>
      <c r="M19" s="29"/>
      <c r="N19" s="29"/>
      <c r="O19" s="29"/>
      <c r="P19" s="29"/>
      <c r="Q19" s="51">
        <v>0.3</v>
      </c>
      <c r="R19" s="52"/>
      <c r="S19" s="44" t="s">
        <v>49</v>
      </c>
    </row>
    <row r="20" spans="3:19" ht="15" thickBot="1" x14ac:dyDescent="0.35">
      <c r="C20" s="50"/>
      <c r="D20" s="35"/>
      <c r="E20" s="36"/>
      <c r="F20" s="36"/>
      <c r="G20" s="37" t="s">
        <v>31</v>
      </c>
      <c r="H20" s="29"/>
      <c r="I20" s="29"/>
      <c r="J20" s="29"/>
      <c r="K20" s="29"/>
      <c r="L20" s="29"/>
      <c r="M20" s="29"/>
      <c r="N20" s="29"/>
      <c r="O20" s="29"/>
      <c r="P20" s="29"/>
      <c r="Q20" s="51">
        <v>0.35</v>
      </c>
      <c r="R20" s="52"/>
    </row>
    <row r="21" spans="3:19" ht="15" thickBot="1" x14ac:dyDescent="0.35">
      <c r="C21" s="50"/>
      <c r="D21" s="38"/>
      <c r="E21" s="34"/>
      <c r="F21" s="34"/>
      <c r="G21" s="39" t="s">
        <v>31</v>
      </c>
      <c r="H21" s="29"/>
      <c r="I21" s="29"/>
      <c r="J21" s="29"/>
      <c r="K21" s="29"/>
      <c r="L21" s="29"/>
      <c r="M21" s="29"/>
      <c r="N21" s="29"/>
      <c r="O21" s="29"/>
      <c r="P21" s="29"/>
      <c r="Q21" s="51">
        <v>0.25</v>
      </c>
      <c r="R21" s="52"/>
    </row>
    <row r="22" spans="3:19" ht="15" thickBot="1" x14ac:dyDescent="0.35">
      <c r="C22" s="50"/>
      <c r="D22" s="40"/>
      <c r="E22" s="41"/>
      <c r="F22" s="41"/>
      <c r="G22" s="42" t="s">
        <v>31</v>
      </c>
      <c r="H22" s="29"/>
      <c r="I22" s="29"/>
      <c r="J22" s="29"/>
      <c r="K22" s="29"/>
      <c r="L22" s="29"/>
      <c r="M22" s="29"/>
      <c r="N22" s="29"/>
      <c r="O22" s="29"/>
      <c r="P22" s="29"/>
      <c r="Q22" s="51">
        <v>0</v>
      </c>
      <c r="R22" s="52"/>
    </row>
    <row r="23" spans="3:19" s="31" customFormat="1" x14ac:dyDescent="0.3">
      <c r="C23" s="43"/>
      <c r="S23" s="44"/>
    </row>
    <row r="24" spans="3:19" s="31" customFormat="1" x14ac:dyDescent="0.3">
      <c r="C24" s="43"/>
      <c r="S24" s="44"/>
    </row>
    <row r="25" spans="3:19" s="31" customFormat="1" x14ac:dyDescent="0.3">
      <c r="C25" s="43"/>
      <c r="S25" s="44"/>
    </row>
    <row r="26" spans="3:19" s="31" customFormat="1" x14ac:dyDescent="0.3">
      <c r="C26" s="43"/>
      <c r="S26" s="44"/>
    </row>
    <row r="27" spans="3:19" s="31" customFormat="1" x14ac:dyDescent="0.3">
      <c r="C27" s="43"/>
      <c r="S27" s="44"/>
    </row>
    <row r="28" spans="3:19" s="31" customFormat="1" x14ac:dyDescent="0.3">
      <c r="C28" s="43"/>
      <c r="S28" s="44"/>
    </row>
    <row r="29" spans="3:19" s="31" customFormat="1" x14ac:dyDescent="0.3">
      <c r="C29" s="43"/>
      <c r="S29" s="44"/>
    </row>
    <row r="30" spans="3:19" s="31" customFormat="1" x14ac:dyDescent="0.3">
      <c r="C30" s="43"/>
      <c r="S30" s="44"/>
    </row>
    <row r="31" spans="3:19" s="31" customFormat="1" x14ac:dyDescent="0.3">
      <c r="C31" s="43"/>
      <c r="S31" s="44"/>
    </row>
    <row r="32" spans="3:19" s="31" customFormat="1" x14ac:dyDescent="0.3">
      <c r="C32" s="43"/>
      <c r="S32" s="44"/>
    </row>
    <row r="33" spans="3:19" s="31" customFormat="1" x14ac:dyDescent="0.3">
      <c r="C33" s="43"/>
      <c r="S33" s="44"/>
    </row>
    <row r="34" spans="3:19" s="31" customFormat="1" x14ac:dyDescent="0.3">
      <c r="C34" s="43"/>
      <c r="S34" s="44"/>
    </row>
    <row r="35" spans="3:19" s="31" customFormat="1" x14ac:dyDescent="0.3">
      <c r="C35" s="43"/>
      <c r="S35" s="44"/>
    </row>
    <row r="36" spans="3:19" s="31" customFormat="1" x14ac:dyDescent="0.3">
      <c r="C36" s="43"/>
      <c r="S36" s="44"/>
    </row>
  </sheetData>
  <mergeCells count="22">
    <mergeCell ref="D6:D7"/>
    <mergeCell ref="Q7:R7"/>
    <mergeCell ref="C8:C10"/>
    <mergeCell ref="Q8:R8"/>
    <mergeCell ref="Q9:R9"/>
    <mergeCell ref="Q10:R10"/>
    <mergeCell ref="C11:C13"/>
    <mergeCell ref="Q11:R11"/>
    <mergeCell ref="Q12:R12"/>
    <mergeCell ref="Q13:R13"/>
    <mergeCell ref="C14:C16"/>
    <mergeCell ref="Q14:R14"/>
    <mergeCell ref="Q15:R15"/>
    <mergeCell ref="Q16:R16"/>
    <mergeCell ref="C17:C19"/>
    <mergeCell ref="Q17:R17"/>
    <mergeCell ref="Q18:R18"/>
    <mergeCell ref="Q19:R19"/>
    <mergeCell ref="C20:C22"/>
    <mergeCell ref="Q20:R20"/>
    <mergeCell ref="Q21:R21"/>
    <mergeCell ref="Q22:R2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</vt:i4>
      </vt:variant>
      <vt:variant>
        <vt:lpstr>Adlandırılmış Aralıklar</vt:lpstr>
      </vt:variant>
      <vt:variant>
        <vt:i4>1</vt:i4>
      </vt:variant>
    </vt:vector>
  </HeadingPairs>
  <TitlesOfParts>
    <vt:vector size="3" baseType="lpstr">
      <vt:lpstr>V162</vt:lpstr>
      <vt:lpstr>cuma raporu</vt:lpstr>
      <vt:lpstr>'V162'!Yazdırma_Alanı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Tek, Fikret Sarper</dc:creator>
  <cp:lastModifiedBy>Tek, Fikret Sarper</cp:lastModifiedBy>
  <cp:lastPrinted>2022-04-18T08:01:21Z</cp:lastPrinted>
  <dcterms:created xsi:type="dcterms:W3CDTF">2019-03-19T13:12:26Z</dcterms:created>
  <dcterms:modified xsi:type="dcterms:W3CDTF">2022-04-25T06:04:44Z</dcterms:modified>
</cp:coreProperties>
</file>